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A:\Previous Work\Project-Engineer\"/>
    </mc:Choice>
  </mc:AlternateContent>
  <xr:revisionPtr revIDLastSave="0" documentId="13_ncr:1_{9A7B0811-3445-4F5F-96AB-D1BA8D1655DF}" xr6:coauthVersionLast="47" xr6:coauthVersionMax="47" xr10:uidLastSave="{00000000-0000-0000-0000-000000000000}"/>
  <bookViews>
    <workbookView xWindow="-108" yWindow="-108" windowWidth="23256" windowHeight="12456" xr2:uid="{75E0FCDA-1BA0-4010-B4B4-B74358032E28}"/>
  </bookViews>
  <sheets>
    <sheet name="Dashboard" sheetId="1" r:id="rId1"/>
    <sheet name="Resourcing" sheetId="2" r:id="rId2"/>
    <sheet name="Comments" sheetId="4" r:id="rId3"/>
    <sheet name="Calculations" sheetId="3" r:id="rId4"/>
  </sheets>
  <definedNames>
    <definedName name="Completion">Dashboard!$K$13:$K$26</definedName>
    <definedName name="Complition">Dashboard!$K$13:$K$25</definedName>
    <definedName name="Deadline">Dashboard!$J$13:$J$26</definedName>
    <definedName name="J5Work_Required">Dashboard!$I$13</definedName>
    <definedName name="Red_Flag_Date">Dashboard!$D$21</definedName>
    <definedName name="Red_Flag_Days">Dashboard!$D$20</definedName>
    <definedName name="Resource">Dashboard!$G$13</definedName>
    <definedName name="Resources">Dashboard!$G$13:$G$25</definedName>
    <definedName name="Status">Dashboard!$M$13</definedName>
    <definedName name="Task_Name">Dashboard!$F$13:$F$26</definedName>
    <definedName name="Tasks">Dashboard!$I$13</definedName>
    <definedName name="Today">Dashboard!$D$19</definedName>
    <definedName name="Work">Dashboard!$H$13:$H$26</definedName>
    <definedName name="Work_Left">Dashboard!$L$13:$L$26</definedName>
    <definedName name="Work_Required">Dashboard!$I$13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1" l="1"/>
  <c r="L16" i="1"/>
  <c r="L17" i="1"/>
  <c r="L18" i="1"/>
  <c r="L20" i="1"/>
  <c r="L21" i="1"/>
  <c r="L22" i="1"/>
  <c r="L23" i="1"/>
  <c r="L14" i="1"/>
  <c r="M2" i="1"/>
  <c r="L2" i="1"/>
  <c r="D6" i="3"/>
  <c r="D22" i="1"/>
  <c r="D19" i="1"/>
  <c r="D10" i="3" s="1"/>
  <c r="E7" i="2"/>
  <c r="E11" i="2"/>
  <c r="E13" i="2"/>
  <c r="E4" i="2"/>
  <c r="G7" i="2"/>
  <c r="G11" i="2"/>
  <c r="G13" i="2"/>
  <c r="H21" i="1"/>
  <c r="H22" i="1"/>
  <c r="H23" i="1"/>
  <c r="H24" i="1"/>
  <c r="H25" i="1"/>
  <c r="H26" i="1"/>
  <c r="H20" i="1"/>
  <c r="H15" i="1"/>
  <c r="G12" i="2" s="1"/>
  <c r="H16" i="1"/>
  <c r="H17" i="1"/>
  <c r="H18" i="1"/>
  <c r="E6" i="2" s="1"/>
  <c r="H14" i="1"/>
  <c r="E5" i="2" s="1"/>
  <c r="D4" i="2"/>
  <c r="D5" i="2"/>
  <c r="M14" i="1" l="1" a="1"/>
  <c r="M14" i="1" s="1"/>
  <c r="D21" i="1"/>
  <c r="D12" i="3" s="1"/>
  <c r="E8" i="2"/>
  <c r="G10" i="2"/>
  <c r="E12" i="2"/>
  <c r="F12" i="2" s="1"/>
  <c r="E9" i="2"/>
  <c r="G5" i="2"/>
  <c r="F5" i="2" s="1"/>
  <c r="G8" i="2"/>
  <c r="G6" i="2"/>
  <c r="F6" i="2" s="1"/>
  <c r="E10" i="2"/>
  <c r="F10" i="2" s="1"/>
  <c r="G9" i="2"/>
  <c r="M18" i="1" a="1"/>
  <c r="M18" i="1" s="1"/>
  <c r="M16" i="1" a="1"/>
  <c r="M16" i="1" s="1"/>
  <c r="M17" i="1" a="1"/>
  <c r="M17" i="1" s="1"/>
  <c r="M15" i="1" a="1"/>
  <c r="M15" i="1" s="1"/>
  <c r="M20" i="1" a="1"/>
  <c r="M20" i="1" s="1"/>
  <c r="M21" i="1" a="1"/>
  <c r="M21" i="1" s="1"/>
  <c r="M23" i="1" a="1"/>
  <c r="M23" i="1" s="1"/>
  <c r="F13" i="2"/>
  <c r="F11" i="2"/>
  <c r="F7" i="2"/>
  <c r="D11" i="2"/>
  <c r="D12" i="2"/>
  <c r="D13" i="2"/>
  <c r="D8" i="3"/>
  <c r="D7" i="3"/>
  <c r="G14" i="2"/>
  <c r="G15" i="2"/>
  <c r="G16" i="2"/>
  <c r="G17" i="2"/>
  <c r="G18" i="2"/>
  <c r="G19" i="2"/>
  <c r="G20" i="2"/>
  <c r="E14" i="2"/>
  <c r="E15" i="2"/>
  <c r="E16" i="2"/>
  <c r="E17" i="2"/>
  <c r="E18" i="2"/>
  <c r="E19" i="2"/>
  <c r="E20" i="2"/>
  <c r="D6" i="2"/>
  <c r="D7" i="2"/>
  <c r="D8" i="2"/>
  <c r="D9" i="2"/>
  <c r="D10" i="2"/>
  <c r="D20" i="2"/>
  <c r="D14" i="2"/>
  <c r="D15" i="2"/>
  <c r="D16" i="2"/>
  <c r="D17" i="2"/>
  <c r="D18" i="2"/>
  <c r="D19" i="2"/>
  <c r="G4" i="2"/>
  <c r="D23" i="2" l="1"/>
  <c r="G23" i="2"/>
  <c r="E23" i="2"/>
  <c r="D11" i="3"/>
  <c r="F8" i="2"/>
  <c r="F9" i="2"/>
  <c r="F17" i="2"/>
  <c r="F20" i="2"/>
  <c r="F19" i="2"/>
  <c r="F16" i="2"/>
  <c r="F15" i="2"/>
  <c r="F4" i="2"/>
  <c r="F18" i="2"/>
  <c r="F14" i="2"/>
  <c r="M22" i="1" a="1"/>
  <c r="M22" i="1" s="1"/>
  <c r="F2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<sst xmlns="http://schemas.openxmlformats.org/spreadsheetml/2006/main" count="74" uniqueCount="56">
  <si>
    <t xml:space="preserve">Resource </t>
  </si>
  <si>
    <t xml:space="preserve">Total Work In Days </t>
  </si>
  <si>
    <t>Done</t>
  </si>
  <si>
    <t>Left To Do</t>
  </si>
  <si>
    <t xml:space="preserve">Ahmed </t>
  </si>
  <si>
    <t xml:space="preserve">Ammar </t>
  </si>
  <si>
    <t>Nazim</t>
  </si>
  <si>
    <t>Abu Saleh</t>
  </si>
  <si>
    <t xml:space="preserve">Jameel </t>
  </si>
  <si>
    <t>Bdoor</t>
  </si>
  <si>
    <t>Messawei</t>
  </si>
  <si>
    <t xml:space="preserve">Today </t>
  </si>
  <si>
    <t xml:space="preserve">Red Flag Days </t>
  </si>
  <si>
    <t>Red Flag Date</t>
  </si>
  <si>
    <t>Deadline</t>
  </si>
  <si>
    <t xml:space="preserve">Group Task 1 </t>
  </si>
  <si>
    <t xml:space="preserve">Who's on it </t>
  </si>
  <si>
    <t xml:space="preserve">Work Required </t>
  </si>
  <si>
    <t xml:space="preserve">Deadline </t>
  </si>
  <si>
    <t>Status</t>
  </si>
  <si>
    <t>% Completed</t>
  </si>
  <si>
    <t>Task 1-1</t>
  </si>
  <si>
    <t>Not Started</t>
  </si>
  <si>
    <t>Completed</t>
  </si>
  <si>
    <t>In Progress</t>
  </si>
  <si>
    <t xml:space="preserve">Group Task 2 </t>
  </si>
  <si>
    <t>Task 1-2</t>
  </si>
  <si>
    <t>Task 1-3</t>
  </si>
  <si>
    <t>Task 1-4</t>
  </si>
  <si>
    <t>Task 1-5</t>
  </si>
  <si>
    <t>Task 2-1</t>
  </si>
  <si>
    <t>Task 2-2</t>
  </si>
  <si>
    <t>Task 2-3</t>
  </si>
  <si>
    <t>Task 2-4</t>
  </si>
  <si>
    <t>Work Left</t>
  </si>
  <si>
    <t>#Tasks</t>
  </si>
  <si>
    <t>Calculation</t>
  </si>
  <si>
    <t>On Track</t>
  </si>
  <si>
    <t>Late</t>
  </si>
  <si>
    <t>Red</t>
  </si>
  <si>
    <t xml:space="preserve"> Costing Sheet update for the VENDORs &amp; Submission Status </t>
  </si>
  <si>
    <t>Rami</t>
  </si>
  <si>
    <t>Yehia</t>
  </si>
  <si>
    <t xml:space="preserve"> AT&amp;S to submit MIRs for 3 different vendors </t>
  </si>
  <si>
    <t>AT&amp;S to submit the Project Time Schedule Base Line</t>
  </si>
  <si>
    <t xml:space="preserve"> AT&amp;S to submit the method statement for Project Implementation </t>
  </si>
  <si>
    <t xml:space="preserve"> AT&amp;S to submit a TQ regarding the Project Payment Terms </t>
  </si>
  <si>
    <t xml:space="preserve"> Raise Request to SWCC for Work Permit for 7 sites , Resources &amp; Machinery Sheet should be delivered || Target Start Date is July 14th</t>
  </si>
  <si>
    <t xml:space="preserve"> Office Land Rent</t>
  </si>
  <si>
    <t xml:space="preserve"> Update the costing sheet both columns [ Supply quoted || PS quoted ] with either [ Yes || Estimated || AT&amp;S </t>
  </si>
  <si>
    <t>Tasks</t>
  </si>
  <si>
    <t xml:space="preserve"> AT&amp;S to provide KDOCs with the selected [ Concrete Factory , Third Party , Soil Test Lab ]</t>
  </si>
  <si>
    <t>Comments</t>
  </si>
  <si>
    <t>Total</t>
  </si>
  <si>
    <t xml:space="preserve">Task Tracker Dashboard </t>
  </si>
  <si>
    <t>Last Update,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</si>
</sst>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d\ dd\ mmm"/>
    <numFmt numFmtId="165" formatCode="#"/>
    <numFmt numFmtId="166" formatCode="\5\ &quot;days&quot;"/>
    <numFmt numFmtId="167" formatCode="dd\ mmm\ yyyy"/>
    <numFmt numFmtId="168" formatCode="dddd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rgb="FFDE1319"/>
      <name val="Arial"/>
      <family val="2"/>
    </font>
    <font>
      <b/>
      <sz val="18"/>
      <color rgb="FFFF0000"/>
      <name val="Arial"/>
      <family val="2"/>
    </font>
    <font>
      <sz val="11"/>
      <color rgb="FFDE1319"/>
      <name val="Aptos Narrow"/>
      <family val="2"/>
      <scheme val="minor"/>
    </font>
    <font>
      <b/>
      <sz val="14"/>
      <color rgb="FFDE1319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14D4D"/>
        <bgColor indexed="64"/>
      </patternFill>
    </fill>
    <fill>
      <patternFill patternType="solid">
        <fgColor rgb="FFE9514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F37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2" xfId="0" applyFont="1" applyFill="1" applyBorder="1"/>
    <xf numFmtId="0" fontId="0" fillId="3" borderId="2" xfId="0" applyFill="1" applyBorder="1"/>
    <xf numFmtId="0" fontId="3" fillId="6" borderId="2" xfId="0" applyFont="1" applyFill="1" applyBorder="1"/>
    <xf numFmtId="9" fontId="0" fillId="3" borderId="2" xfId="0" applyNumberFormat="1" applyFill="1" applyBorder="1"/>
    <xf numFmtId="164" fontId="0" fillId="3" borderId="2" xfId="0" applyNumberFormat="1" applyFill="1" applyBorder="1"/>
    <xf numFmtId="165" fontId="0" fillId="3" borderId="2" xfId="0" applyNumberFormat="1" applyFill="1" applyBorder="1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vertical="center"/>
    </xf>
    <xf numFmtId="166" fontId="0" fillId="10" borderId="2" xfId="0" applyNumberFormat="1" applyFill="1" applyBorder="1"/>
    <xf numFmtId="0" fontId="0" fillId="11" borderId="0" xfId="0" applyFill="1"/>
    <xf numFmtId="0" fontId="0" fillId="12" borderId="0" xfId="0" applyFill="1"/>
    <xf numFmtId="14" fontId="0" fillId="12" borderId="0" xfId="0" applyNumberFormat="1" applyFill="1"/>
    <xf numFmtId="0" fontId="8" fillId="12" borderId="0" xfId="0" applyFont="1" applyFill="1"/>
    <xf numFmtId="167" fontId="7" fillId="12" borderId="0" xfId="0" applyNumberFormat="1" applyFont="1" applyFill="1"/>
    <xf numFmtId="168" fontId="7" fillId="12" borderId="0" xfId="0" applyNumberFormat="1" applyFont="1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3" xfId="0" applyFill="1" applyBorder="1" applyAlignment="1">
      <alignment horizontal="center"/>
    </xf>
    <xf numFmtId="0" fontId="5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9">
    <dxf>
      <fill>
        <patternFill>
          <bgColor rgb="FFFFCF37"/>
        </patternFill>
      </fill>
    </dxf>
    <dxf>
      <fill>
        <patternFill>
          <bgColor rgb="FFFF5050"/>
        </patternFill>
      </fill>
    </dxf>
    <dxf>
      <fill>
        <patternFill>
          <bgColor theme="3" tint="0.499984740745262"/>
        </patternFill>
      </fill>
    </dxf>
    <dxf>
      <fill>
        <patternFill>
          <bgColor rgb="FFE85145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E85145"/>
      <color rgb="FFDE1319"/>
      <color rgb="FFE95145"/>
      <color rgb="FFFFCF37"/>
      <color rgb="FF0F51E3"/>
      <color rgb="FFFF5050"/>
      <color rgb="FFE1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Resource</a:t>
            </a:r>
            <a:r>
              <a:rPr lang="en-US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Workload</a:t>
            </a:r>
            <a:endParaRPr lang="en-US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solidFill>
          <a:schemeClr val="accent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473254067321234E-2"/>
          <c:y val="0.13045539732781944"/>
          <c:w val="0.89275177524098814"/>
          <c:h val="0.64348326764538977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Resourcing!$C$4:$C$13</c:f>
              <c:strCache>
                <c:ptCount val="9"/>
                <c:pt idx="0">
                  <c:v>Messawei</c:v>
                </c:pt>
                <c:pt idx="1">
                  <c:v>Jameel </c:v>
                </c:pt>
                <c:pt idx="2">
                  <c:v>Bdoor</c:v>
                </c:pt>
                <c:pt idx="3">
                  <c:v>Abu Saleh</c:v>
                </c:pt>
                <c:pt idx="4">
                  <c:v>Ahmed </c:v>
                </c:pt>
                <c:pt idx="5">
                  <c:v>Ammar </c:v>
                </c:pt>
                <c:pt idx="6">
                  <c:v>Nazim</c:v>
                </c:pt>
                <c:pt idx="7">
                  <c:v>Rami</c:v>
                </c:pt>
                <c:pt idx="8">
                  <c:v>Yehia</c:v>
                </c:pt>
              </c:strCache>
            </c:strRef>
          </c:cat>
          <c:val>
            <c:numRef>
              <c:f>Resourcing!$F$4:$F$13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  <c:pt idx="6">
                  <c:v>0.19999999999999996</c:v>
                </c:pt>
                <c:pt idx="7">
                  <c:v>9.9999999999999978E-2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7-418C-BC42-A1D231262354}"/>
            </c:ext>
          </c:extLst>
        </c:ser>
        <c:ser>
          <c:idx val="1"/>
          <c:order val="1"/>
          <c:spPr>
            <a:solidFill>
              <a:srgbClr val="E95145"/>
            </a:solidFill>
            <a:ln>
              <a:noFill/>
            </a:ln>
            <a:effectLst/>
          </c:spPr>
          <c:invertIfNegative val="0"/>
          <c:cat>
            <c:strRef>
              <c:f>Resourcing!$C$4:$C$13</c:f>
              <c:strCache>
                <c:ptCount val="9"/>
                <c:pt idx="0">
                  <c:v>Messawei</c:v>
                </c:pt>
                <c:pt idx="1">
                  <c:v>Jameel </c:v>
                </c:pt>
                <c:pt idx="2">
                  <c:v>Bdoor</c:v>
                </c:pt>
                <c:pt idx="3">
                  <c:v>Abu Saleh</c:v>
                </c:pt>
                <c:pt idx="4">
                  <c:v>Ahmed </c:v>
                </c:pt>
                <c:pt idx="5">
                  <c:v>Ammar </c:v>
                </c:pt>
                <c:pt idx="6">
                  <c:v>Nazim</c:v>
                </c:pt>
                <c:pt idx="7">
                  <c:v>Rami</c:v>
                </c:pt>
                <c:pt idx="8">
                  <c:v>Yehia</c:v>
                </c:pt>
              </c:strCache>
            </c:strRef>
          </c:cat>
          <c:val>
            <c:numRef>
              <c:f>Resourcing!$G$4:$G$13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</c:v>
                </c:pt>
                <c:pt idx="4">
                  <c:v>4</c:v>
                </c:pt>
                <c:pt idx="5">
                  <c:v>7.5</c:v>
                </c:pt>
                <c:pt idx="6">
                  <c:v>0.8</c:v>
                </c:pt>
                <c:pt idx="7">
                  <c:v>0.9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7-418C-BC42-A1D231262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582360"/>
        <c:axId val="629580920"/>
      </c:barChart>
      <c:catAx>
        <c:axId val="629582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580920"/>
        <c:crosses val="autoZero"/>
        <c:auto val="1"/>
        <c:lblAlgn val="ctr"/>
        <c:lblOffset val="100"/>
        <c:noMultiLvlLbl val="0"/>
      </c:catAx>
      <c:valAx>
        <c:axId val="629580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582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Active</a:t>
            </a:r>
            <a:r>
              <a:rPr lang="en-US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Task Status</a:t>
            </a:r>
            <a:endParaRPr lang="en-US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solidFill>
          <a:schemeClr val="accent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96-45CD-BCF8-CC7A49775E43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96-45CD-BCF8-CC7A49775E43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96-45CD-BCF8-CC7A49775E43}"/>
              </c:ext>
            </c:extLst>
          </c:dPt>
          <c:dLbls>
            <c:dLbl>
              <c:idx val="0"/>
              <c:layout>
                <c:manualLayout>
                  <c:x val="0.14143359070110281"/>
                  <c:y val="-6.84230239435464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96-45CD-BCF8-CC7A49775E43}"/>
                </c:ext>
              </c:extLst>
            </c:dLbl>
            <c:dLbl>
              <c:idx val="1"/>
              <c:layout>
                <c:manualLayout>
                  <c:x val="-0.29200472276615896"/>
                  <c:y val="0.103650021817804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96-45CD-BCF8-CC7A49775E43}"/>
                </c:ext>
              </c:extLst>
            </c:dLbl>
            <c:dLbl>
              <c:idx val="2"/>
              <c:layout>
                <c:manualLayout>
                  <c:x val="-0.14528758655322932"/>
                  <c:y val="-0.1125147666772287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96-45CD-BCF8-CC7A49775E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Calculations!$C$6:$C$8</c:f>
              <c:strCache>
                <c:ptCount val="3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</c:strCache>
            </c:strRef>
          </c:cat>
          <c:val>
            <c:numRef>
              <c:f>Calculations!$D$6:$D$8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96-45CD-BCF8-CC7A49775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Task</a:t>
            </a:r>
            <a:r>
              <a:rPr lang="en-US" baseline="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Completion</a:t>
            </a:r>
            <a:endParaRPr lang="en-US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solidFill>
          <a:schemeClr val="accent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17-4A69-AC12-091E942F2B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17-4A69-AC12-091E942F2BB0}"/>
              </c:ext>
            </c:extLst>
          </c:dPt>
          <c:dPt>
            <c:idx val="2"/>
            <c:bubble3D val="0"/>
            <c:spPr>
              <a:solidFill>
                <a:srgbClr val="E9514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17-4A69-AC12-091E942F2BB0}"/>
              </c:ext>
            </c:extLst>
          </c:dPt>
          <c:dLbls>
            <c:dLbl>
              <c:idx val="0"/>
              <c:layout>
                <c:manualLayout>
                  <c:x val="0.12311722331368696"/>
                  <c:y val="-0.4425531914893616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17-4A69-AC12-091E942F2BB0}"/>
                </c:ext>
              </c:extLst>
            </c:dLbl>
            <c:dLbl>
              <c:idx val="1"/>
              <c:layout>
                <c:manualLayout>
                  <c:x val="-0.18598559266535694"/>
                  <c:y val="0.107801418439716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17-4A69-AC12-091E942F2BB0}"/>
                </c:ext>
              </c:extLst>
            </c:dLbl>
            <c:dLbl>
              <c:idx val="2"/>
              <c:layout>
                <c:manualLayout>
                  <c:x val="-0.23837584649554147"/>
                  <c:y val="-1.547246350154047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852564567973748E-2"/>
                      <c:h val="5.25339196120419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917-4A69-AC12-091E942F2B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Calculations!$C$10:$C$12</c:f>
              <c:strCache>
                <c:ptCount val="3"/>
                <c:pt idx="0">
                  <c:v>On Track</c:v>
                </c:pt>
                <c:pt idx="1">
                  <c:v>Late</c:v>
                </c:pt>
                <c:pt idx="2">
                  <c:v>Red</c:v>
                </c:pt>
              </c:strCache>
            </c:strRef>
          </c:cat>
          <c:val>
            <c:numRef>
              <c:f>Calculations!$D$10:$D$12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17-4A69-AC12-091E942F2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Project Completion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861982946178359"/>
          <c:y val="0.17655234208594739"/>
          <c:w val="0.33197145495175645"/>
          <c:h val="0.70627520712210989"/>
        </c:manualLayout>
      </c:layout>
      <c:pieChart>
        <c:varyColors val="1"/>
        <c:ser>
          <c:idx val="0"/>
          <c:order val="0"/>
          <c:spPr>
            <a:ln w="12700">
              <a:solidFill>
                <a:schemeClr val="lt1"/>
              </a:solidFill>
            </a:ln>
          </c:spPr>
          <c:explosion val="1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04-4F8F-8917-91B057B269E9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04-4F8F-8917-91B057B269E9}"/>
              </c:ext>
            </c:extLst>
          </c:dPt>
          <c:dLbls>
            <c:dLbl>
              <c:idx val="0"/>
              <c:layout>
                <c:manualLayout>
                  <c:x val="-8.2517306348171351E-2"/>
                  <c:y val="0.16378784893909548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04-4F8F-8917-91B057B269E9}"/>
                </c:ext>
              </c:extLst>
            </c:dLbl>
            <c:dLbl>
              <c:idx val="1"/>
              <c:layout>
                <c:manualLayout>
                  <c:x val="0.11613331146106737"/>
                  <c:y val="-0.21180555555555555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04-4F8F-8917-91B057B269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Resourcing!$F$23:$G$23</c:f>
              <c:numCache>
                <c:formatCode>General</c:formatCode>
                <c:ptCount val="2"/>
                <c:pt idx="0">
                  <c:v>3.3000000000000003</c:v>
                </c:pt>
                <c:pt idx="1">
                  <c:v>13.700000000000001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04-4F8F-8917-91B057B26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3523</xdr:rowOff>
    </xdr:from>
    <xdr:to>
      <xdr:col>4</xdr:col>
      <xdr:colOff>704589</xdr:colOff>
      <xdr:row>18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235F6F-6BB5-4BA7-88E7-57935C4E0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2883596</xdr:colOff>
      <xdr:row>2</xdr:row>
      <xdr:rowOff>182671</xdr:rowOff>
    </xdr:from>
    <xdr:to>
      <xdr:col>11</xdr:col>
      <xdr:colOff>300102</xdr:colOff>
      <xdr:row>12</xdr:row>
      <xdr:rowOff>13048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4DF0F0-66B5-467C-8DBD-5EF0F4CA7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665446</xdr:colOff>
      <xdr:row>3</xdr:row>
      <xdr:rowOff>2</xdr:rowOff>
    </xdr:from>
    <xdr:to>
      <xdr:col>8</xdr:col>
      <xdr:colOff>2212540</xdr:colOff>
      <xdr:row>12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56D2FB-747E-4D0C-B6E6-F711908A9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13048</xdr:rowOff>
    </xdr:from>
    <xdr:to>
      <xdr:col>4</xdr:col>
      <xdr:colOff>704589</xdr:colOff>
      <xdr:row>31</xdr:row>
      <xdr:rowOff>186193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8C0991-FD35-4DCD-9FB0-BA5B01A23C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5069FE1-8142-66C4-E6EC-8B23A6B3F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4897" cy="626301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0.6911</cdr:x>
      <cdr:y>0.25362</cdr:y>
    </cdr:from>
    <cdr:to>
      <cdr:x>0.97817</cdr:x>
      <cdr:y>0.49275</cdr:y>
    </cdr:to>
    <cdr:pic>
      <cdr:nvPicPr>
        <cdr:cNvPr id="3" name="Graphic 2" descr="Group of men with solid fill">
          <a:extLst xmlns:a="http://schemas.openxmlformats.org/drawingml/2006/main">
            <a:ext uri="{FF2B5EF4-FFF2-40B4-BE49-F238E27FC236}">
              <a16:creationId xmlns:a16="http://schemas.microsoft.com/office/drawing/2014/main" id="{03D4B2AF-DC6C-7D48-48DE-7B4CFCAB7D73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xmlns:a="http://schemas.openxmlformats.org/drawingml/2006/main" l="3458" b="7043"/>
        <a:stretch xmlns:a="http://schemas.openxmlformats.org/drawingml/2006/main"/>
      </cdr:blipFill>
      <cdr:spPr>
        <a:xfrm xmlns:a="http://schemas.openxmlformats.org/drawingml/2006/main">
          <a:off x="2858543" y="913357"/>
          <a:ext cx="1187364" cy="861164"/>
        </a:xfrm>
        <a:prstGeom xmlns:a="http://schemas.openxmlformats.org/drawingml/2006/main" prst="rect">
          <a:avLst/>
        </a:prstGeom>
        <a:effectLst xmlns:a="http://schemas.openxmlformats.org/drawingml/2006/main">
          <a:reflection blurRad="6350" stA="50000" endA="300" endPos="55500" dist="50800" dir="5400000" sy="-100000" algn="bl" rotWithShape="0"/>
        </a:effectLst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F8E3-4D92-41E4-B083-8B87B9A5F6AF}">
  <dimension ref="A1:O32"/>
  <sheetViews>
    <sheetView showGridLines="0" tabSelected="1" zoomScale="68" zoomScaleNormal="68" workbookViewId="0">
      <selection activeCell="P15" sqref="P15"/>
    </sheetView>
  </sheetViews>
  <sheetFormatPr defaultRowHeight="14.4" outlineLevelCol="1" x14ac:dyDescent="0.3"/>
  <cols>
    <col min="1" max="1" width="12.88671875" bestFit="1" customWidth="1"/>
    <col min="2" max="2" width="11.109375" bestFit="1" customWidth="1"/>
    <col min="3" max="3" width="13.6640625" bestFit="1" customWidth="1"/>
    <col min="4" max="4" width="13.6640625" customWidth="1"/>
    <col min="5" max="5" width="10.6640625" bestFit="1" customWidth="1"/>
    <col min="6" max="6" width="13" bestFit="1" customWidth="1"/>
    <col min="7" max="7" width="11.33203125" bestFit="1" customWidth="1"/>
    <col min="8" max="8" width="14.44140625" bestFit="1" customWidth="1"/>
    <col min="9" max="9" width="98.109375" bestFit="1" customWidth="1"/>
    <col min="10" max="10" width="11.33203125" bestFit="1" customWidth="1"/>
    <col min="11" max="11" width="14.6640625" customWidth="1"/>
    <col min="12" max="12" width="12.109375" bestFit="1" customWidth="1"/>
    <col min="13" max="13" width="12.44140625" bestFit="1" customWidth="1"/>
    <col min="14" max="14" width="12.44140625" customWidth="1"/>
    <col min="15" max="15" width="9.33203125" customWidth="1" outlineLevel="1"/>
  </cols>
  <sheetData>
    <row r="1" spans="1:14" x14ac:dyDescent="0.3">
      <c r="A1" s="17"/>
      <c r="B1" s="17"/>
      <c r="C1" s="27" t="s">
        <v>54</v>
      </c>
      <c r="D1" s="28"/>
      <c r="E1" s="28"/>
      <c r="F1" s="28"/>
      <c r="G1" s="28"/>
      <c r="H1" s="28"/>
      <c r="I1" s="18"/>
      <c r="J1" s="19"/>
      <c r="K1" s="18"/>
      <c r="L1" s="18"/>
      <c r="M1" s="18"/>
      <c r="N1" s="18"/>
    </row>
    <row r="2" spans="1:14" ht="18" x14ac:dyDescent="0.35">
      <c r="A2" s="17"/>
      <c r="B2" s="17"/>
      <c r="C2" s="28"/>
      <c r="D2" s="28"/>
      <c r="E2" s="28"/>
      <c r="F2" s="28"/>
      <c r="G2" s="28"/>
      <c r="H2" s="28"/>
      <c r="I2" s="18"/>
      <c r="J2" s="18"/>
      <c r="K2" s="20" t="s">
        <v>55</v>
      </c>
      <c r="L2" s="21">
        <f ca="1">TODAY()</f>
        <v>46015</v>
      </c>
      <c r="M2" s="22">
        <f ca="1">TODAY()</f>
        <v>46015</v>
      </c>
      <c r="N2" s="18"/>
    </row>
    <row r="3" spans="1:14" x14ac:dyDescent="0.3">
      <c r="A3" s="17"/>
      <c r="B3" s="17"/>
      <c r="C3" s="28"/>
      <c r="D3" s="28"/>
      <c r="E3" s="28"/>
      <c r="F3" s="28"/>
      <c r="G3" s="28"/>
      <c r="H3" s="28"/>
      <c r="I3" s="18"/>
      <c r="J3" s="18"/>
      <c r="K3" s="18"/>
      <c r="L3" s="18"/>
      <c r="M3" s="18"/>
      <c r="N3" s="18"/>
    </row>
    <row r="4" spans="1:14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x14ac:dyDescent="0.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x14ac:dyDescent="0.3">
      <c r="A13" s="17"/>
      <c r="B13" s="17"/>
      <c r="C13" s="17"/>
      <c r="D13" s="17"/>
      <c r="E13" s="17"/>
      <c r="F13" s="3" t="s">
        <v>15</v>
      </c>
      <c r="G13" s="3" t="s">
        <v>16</v>
      </c>
      <c r="H13" s="3" t="s">
        <v>17</v>
      </c>
      <c r="I13" s="3" t="s">
        <v>50</v>
      </c>
      <c r="J13" s="3" t="s">
        <v>18</v>
      </c>
      <c r="K13" s="3" t="s">
        <v>20</v>
      </c>
      <c r="L13" s="3" t="s">
        <v>34</v>
      </c>
      <c r="M13" s="3" t="s">
        <v>19</v>
      </c>
      <c r="N13" s="17"/>
    </row>
    <row r="14" spans="1:14" x14ac:dyDescent="0.3">
      <c r="A14" s="17"/>
      <c r="B14" s="17"/>
      <c r="C14" s="17"/>
      <c r="D14" s="17"/>
      <c r="E14" s="17"/>
      <c r="F14" s="2" t="s">
        <v>21</v>
      </c>
      <c r="G14" s="2" t="s">
        <v>8</v>
      </c>
      <c r="H14" s="2">
        <f>IF(G14&lt;&gt;"",COUNTIF(Resources,"="&amp;G14),"")</f>
        <v>1</v>
      </c>
      <c r="I14" s="2" t="s">
        <v>49</v>
      </c>
      <c r="J14" s="5">
        <v>45469</v>
      </c>
      <c r="K14" s="4">
        <v>1</v>
      </c>
      <c r="L14" s="2">
        <f>H14-(H14*K14)</f>
        <v>0</v>
      </c>
      <c r="M14" s="2" t="str" cm="1">
        <f t="array" aca="1" ref="M14" ca="1">_xlfn.IFS(K14=1,"Completed",ISBLANK(F14),"",J14&lt;$D$19,"Late",K14=0,"Not Started",K14&gt;0,"In Progress")</f>
        <v>Completed</v>
      </c>
      <c r="N14" s="17"/>
    </row>
    <row r="15" spans="1:14" x14ac:dyDescent="0.3">
      <c r="A15" s="17"/>
      <c r="B15" s="17"/>
      <c r="C15" s="17"/>
      <c r="D15" s="17"/>
      <c r="E15" s="17"/>
      <c r="F15" s="2" t="s">
        <v>26</v>
      </c>
      <c r="G15" s="2" t="s">
        <v>41</v>
      </c>
      <c r="H15" s="2">
        <f>IF(G15&lt;&gt;"",COUNTIF(Resources,"="&amp;G15),"")</f>
        <v>1</v>
      </c>
      <c r="I15" s="2" t="s">
        <v>43</v>
      </c>
      <c r="J15" s="5">
        <v>45474</v>
      </c>
      <c r="K15" s="4">
        <v>0.1</v>
      </c>
      <c r="L15" s="2">
        <f t="shared" ref="L15:L23" si="0">H15-(H15*K15)</f>
        <v>0.9</v>
      </c>
      <c r="M15" s="2" t="str" cm="1">
        <f t="array" aca="1" ref="M15" ca="1">_xlfn.IFS(K15=1,"Completed",ISBLANK(F15),"",J15&lt;$D$19,"Late",K15=0,"Not Started",K15&gt;0,"In Progress")</f>
        <v>Late</v>
      </c>
      <c r="N15" s="17"/>
    </row>
    <row r="16" spans="1:14" x14ac:dyDescent="0.3">
      <c r="A16" s="17"/>
      <c r="B16" s="17"/>
      <c r="C16" s="17"/>
      <c r="D16" s="17"/>
      <c r="E16" s="17"/>
      <c r="F16" s="2" t="s">
        <v>27</v>
      </c>
      <c r="G16" s="2" t="s">
        <v>4</v>
      </c>
      <c r="H16" s="2">
        <f>IF(G16&lt;&gt;"",COUNTIF(Resources,"="&amp;G16),"")</f>
        <v>2</v>
      </c>
      <c r="I16" s="2" t="s">
        <v>51</v>
      </c>
      <c r="J16" s="5">
        <v>45474</v>
      </c>
      <c r="K16" s="4">
        <v>0</v>
      </c>
      <c r="L16" s="2">
        <f t="shared" si="0"/>
        <v>2</v>
      </c>
      <c r="M16" s="2" t="str" cm="1">
        <f t="array" aca="1" ref="M16" ca="1">_xlfn.IFS(K16=1,"Completed",ISBLANK(F16),"",J16&lt;$D$19,"Late",K16=0,"Not Started",K16&gt;0,"In Progress")</f>
        <v>Late</v>
      </c>
      <c r="N16" s="17"/>
    </row>
    <row r="17" spans="1:14" x14ac:dyDescent="0.3">
      <c r="A17" s="17"/>
      <c r="B17" s="17"/>
      <c r="C17" s="17"/>
      <c r="D17" s="17"/>
      <c r="E17" s="17"/>
      <c r="F17" s="2" t="s">
        <v>28</v>
      </c>
      <c r="G17" s="2" t="s">
        <v>5</v>
      </c>
      <c r="H17" s="2">
        <f>IF(G17&lt;&gt;"",COUNTIF(Resources,"="&amp;G17),"")</f>
        <v>3</v>
      </c>
      <c r="I17" s="2" t="s">
        <v>40</v>
      </c>
      <c r="J17" s="5">
        <v>45474</v>
      </c>
      <c r="K17" s="4">
        <v>0.5</v>
      </c>
      <c r="L17" s="2">
        <f t="shared" si="0"/>
        <v>1.5</v>
      </c>
      <c r="M17" s="2" t="str" cm="1">
        <f t="array" aca="1" ref="M17" ca="1">_xlfn.IFS(K17=1,"Completed",ISBLANK(F17),"",J17&lt;$D$19,"Late",K17=0,"Not Started",K17&gt;0,"In Progress")</f>
        <v>Late</v>
      </c>
      <c r="N17" s="17"/>
    </row>
    <row r="18" spans="1:14" x14ac:dyDescent="0.3">
      <c r="A18" s="17"/>
      <c r="B18" s="17"/>
      <c r="C18" s="17"/>
      <c r="D18" s="17"/>
      <c r="E18" s="17"/>
      <c r="F18" s="2" t="s">
        <v>29</v>
      </c>
      <c r="G18" s="2" t="s">
        <v>9</v>
      </c>
      <c r="H18" s="2">
        <f>IF(G18&lt;&gt;"",COUNTIF(Resources,"="&amp;G18),"")</f>
        <v>1</v>
      </c>
      <c r="I18" s="2" t="s">
        <v>48</v>
      </c>
      <c r="J18" s="5">
        <v>45474</v>
      </c>
      <c r="K18" s="4">
        <v>0.5</v>
      </c>
      <c r="L18" s="2">
        <f t="shared" si="0"/>
        <v>0.5</v>
      </c>
      <c r="M18" s="2" t="str" cm="1">
        <f t="array" aca="1" ref="M18" ca="1">_xlfn.IFS(K18=1,"Completed",ISBLANK(F18),"",J18&lt;$D$19,"Late",K18=0,"Not Started",K18&gt;0,"In Progress")</f>
        <v>Late</v>
      </c>
      <c r="N18" s="17"/>
    </row>
    <row r="19" spans="1:14" x14ac:dyDescent="0.3">
      <c r="A19" s="17"/>
      <c r="B19" s="23" t="s">
        <v>11</v>
      </c>
      <c r="C19" s="24"/>
      <c r="D19" s="5">
        <f ca="1">TODAY()</f>
        <v>46015</v>
      </c>
      <c r="E19" s="17"/>
      <c r="F19" s="3" t="s">
        <v>25</v>
      </c>
      <c r="G19" s="3" t="s">
        <v>16</v>
      </c>
      <c r="H19" s="3" t="s">
        <v>17</v>
      </c>
      <c r="I19" s="3" t="s">
        <v>50</v>
      </c>
      <c r="J19" s="3" t="s">
        <v>18</v>
      </c>
      <c r="K19" s="3" t="s">
        <v>20</v>
      </c>
      <c r="L19" s="3" t="s">
        <v>34</v>
      </c>
      <c r="M19" s="3" t="s">
        <v>19</v>
      </c>
      <c r="N19" s="17"/>
    </row>
    <row r="20" spans="1:14" ht="28.8" x14ac:dyDescent="0.3">
      <c r="A20" s="17"/>
      <c r="B20" s="25" t="s">
        <v>12</v>
      </c>
      <c r="C20" s="26"/>
      <c r="D20" s="16">
        <v>5</v>
      </c>
      <c r="E20" s="17"/>
      <c r="F20" s="15" t="s">
        <v>30</v>
      </c>
      <c r="G20" s="15" t="s">
        <v>4</v>
      </c>
      <c r="H20" s="2">
        <f t="shared" ref="H20:H26" si="1">IF(G20&lt;&gt;"",COUNTIF(Resources,"="&amp;G20),"")</f>
        <v>2</v>
      </c>
      <c r="I20" s="14" t="s">
        <v>47</v>
      </c>
      <c r="J20" s="5">
        <v>45474</v>
      </c>
      <c r="K20" s="4">
        <v>0</v>
      </c>
      <c r="L20" s="2">
        <f t="shared" si="0"/>
        <v>2</v>
      </c>
      <c r="M20" s="2" t="str" cm="1">
        <f t="array" aca="1" ref="M20" ca="1">_xlfn.IFS(K20=1,"Completed",ISBLANK(F20),"",J20&lt;$D$19,"Late",K20=0,"Not Started",K20&gt;0,"In Progress")</f>
        <v>Late</v>
      </c>
      <c r="N20" s="17"/>
    </row>
    <row r="21" spans="1:14" ht="18.75" customHeight="1" x14ac:dyDescent="0.3">
      <c r="A21" s="17"/>
      <c r="B21" s="23" t="s">
        <v>13</v>
      </c>
      <c r="C21" s="24"/>
      <c r="D21" s="5">
        <f ca="1">D19+D20</f>
        <v>46020</v>
      </c>
      <c r="E21" s="17"/>
      <c r="F21" s="15" t="s">
        <v>31</v>
      </c>
      <c r="G21" s="2" t="s">
        <v>5</v>
      </c>
      <c r="H21" s="2">
        <f t="shared" si="1"/>
        <v>3</v>
      </c>
      <c r="I21" s="2" t="s">
        <v>45</v>
      </c>
      <c r="J21" s="5">
        <v>45474</v>
      </c>
      <c r="K21" s="4">
        <v>0</v>
      </c>
      <c r="L21" s="2">
        <f t="shared" si="0"/>
        <v>3</v>
      </c>
      <c r="M21" s="2" t="str" cm="1">
        <f t="array" aca="1" ref="M21" ca="1">_xlfn.IFS(K21=1,"Completed",ISBLANK(F21),"",J21&lt;$D$19,"Late",K21=0,"Not Started",K21&gt;0,"In Progress")</f>
        <v>Late</v>
      </c>
      <c r="N21" s="17"/>
    </row>
    <row r="22" spans="1:14" ht="23.25" customHeight="1" x14ac:dyDescent="0.3">
      <c r="A22" s="17"/>
      <c r="B22" s="23" t="s">
        <v>14</v>
      </c>
      <c r="C22" s="24"/>
      <c r="D22" s="5">
        <f>MAX(J13:J26)</f>
        <v>45474</v>
      </c>
      <c r="E22" s="17"/>
      <c r="F22" s="15" t="s">
        <v>32</v>
      </c>
      <c r="G22" s="2" t="s">
        <v>6</v>
      </c>
      <c r="H22" s="2">
        <f t="shared" si="1"/>
        <v>1</v>
      </c>
      <c r="I22" s="2" t="s">
        <v>44</v>
      </c>
      <c r="J22" s="5">
        <v>45474</v>
      </c>
      <c r="K22" s="4">
        <v>0.2</v>
      </c>
      <c r="L22" s="2">
        <f t="shared" si="0"/>
        <v>0.8</v>
      </c>
      <c r="M22" s="2" t="str" cm="1">
        <f t="array" aca="1" ref="M22" ca="1">_xlfn.IFS(K22=1,"Completed",ISBLANK(F22),"",J22&lt;$D$19,"Late",K22=0,"Not Started",K22&gt;0,"In Progress")</f>
        <v>Late</v>
      </c>
      <c r="N22" s="17"/>
    </row>
    <row r="23" spans="1:14" x14ac:dyDescent="0.3">
      <c r="A23" s="17"/>
      <c r="B23" s="17"/>
      <c r="C23" s="17"/>
      <c r="D23" s="17"/>
      <c r="E23" s="17"/>
      <c r="F23" s="15" t="s">
        <v>33</v>
      </c>
      <c r="G23" s="2" t="s">
        <v>5</v>
      </c>
      <c r="H23" s="2">
        <f t="shared" si="1"/>
        <v>3</v>
      </c>
      <c r="I23" s="2" t="s">
        <v>46</v>
      </c>
      <c r="J23" s="5">
        <v>45474</v>
      </c>
      <c r="K23" s="4">
        <v>0</v>
      </c>
      <c r="L23" s="2">
        <f t="shared" si="0"/>
        <v>3</v>
      </c>
      <c r="M23" s="2" t="str" cm="1">
        <f t="array" aca="1" ref="M23" ca="1">_xlfn.IFS(K23=1,"Completed",ISBLANK(F23),"",J23&lt;$D$19,"Late",K23=0,"Not Started",K23&gt;0,"In Progress")</f>
        <v>Late</v>
      </c>
      <c r="N23" s="17"/>
    </row>
    <row r="24" spans="1:14" x14ac:dyDescent="0.3">
      <c r="A24" s="17"/>
      <c r="B24" s="17"/>
      <c r="C24" s="17"/>
      <c r="D24" s="17"/>
      <c r="E24" s="17"/>
      <c r="F24" s="2"/>
      <c r="G24" s="2"/>
      <c r="H24" s="2" t="str">
        <f t="shared" si="1"/>
        <v/>
      </c>
      <c r="I24" s="2"/>
      <c r="J24" s="2"/>
      <c r="K24" s="4"/>
      <c r="L24" s="2"/>
      <c r="M24" s="2"/>
      <c r="N24" s="17"/>
    </row>
    <row r="25" spans="1:14" x14ac:dyDescent="0.3">
      <c r="A25" s="17"/>
      <c r="B25" s="17"/>
      <c r="C25" s="17"/>
      <c r="D25" s="17"/>
      <c r="E25" s="17"/>
      <c r="F25" s="2"/>
      <c r="G25" s="2"/>
      <c r="H25" s="2" t="str">
        <f t="shared" si="1"/>
        <v/>
      </c>
      <c r="I25" s="2"/>
      <c r="J25" s="2"/>
      <c r="K25" s="4"/>
      <c r="L25" s="2"/>
      <c r="M25" s="2"/>
      <c r="N25" s="17"/>
    </row>
    <row r="26" spans="1:14" x14ac:dyDescent="0.3">
      <c r="A26" s="17"/>
      <c r="B26" s="17"/>
      <c r="C26" s="17"/>
      <c r="D26" s="17"/>
      <c r="E26" s="17"/>
      <c r="F26" s="2"/>
      <c r="G26" s="2"/>
      <c r="H26" s="2" t="str">
        <f t="shared" si="1"/>
        <v/>
      </c>
      <c r="I26" s="2"/>
      <c r="J26" s="2"/>
      <c r="K26" s="4"/>
      <c r="L26" s="2"/>
      <c r="M26" s="2"/>
      <c r="N26" s="17"/>
    </row>
    <row r="27" spans="1:14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14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</sheetData>
  <mergeCells count="5">
    <mergeCell ref="B19:C19"/>
    <mergeCell ref="B20:C20"/>
    <mergeCell ref="B21:C21"/>
    <mergeCell ref="B22:C22"/>
    <mergeCell ref="C1:H3"/>
  </mergeCells>
  <phoneticPr fontId="4" type="noConversion"/>
  <conditionalFormatting sqref="F14:K18 M14:M18 F20:H20 I20:K25 M20:M25 F21:G25 H21:H26">
    <cfRule type="expression" dxfId="8" priority="46" stopIfTrue="1">
      <formula>$K14=1</formula>
    </cfRule>
  </conditionalFormatting>
  <conditionalFormatting sqref="K13">
    <cfRule type="expression" dxfId="7" priority="43">
      <formula>#REF!&gt;0</formula>
    </cfRule>
  </conditionalFormatting>
  <conditionalFormatting sqref="K14:K18 K20:K25">
    <cfRule type="expression" dxfId="6" priority="76">
      <formula>$K14&gt;0</formula>
    </cfRule>
    <cfRule type="expression" dxfId="5" priority="83">
      <formula>$K15&gt;0</formula>
    </cfRule>
  </conditionalFormatting>
  <conditionalFormatting sqref="K14:K25">
    <cfRule type="dataBar" priority="69">
      <dataBar>
        <cfvo type="min"/>
        <cfvo type="max"/>
        <color theme="3" tint="0.499984740745262"/>
      </dataBar>
      <extLst>
        <ext xmlns:x14="http://schemas.microsoft.com/office/spreadsheetml/2009/9/main" uri="{B025F937-C7B1-47D3-B67F-A62EFF666E3E}">
          <x14:id>{17C0CFFB-B07F-4D4E-8C6B-A9B3B78D5CDF}</x14:id>
        </ext>
      </extLst>
    </cfRule>
  </conditionalFormatting>
  <conditionalFormatting sqref="L14:L18 L20:L26">
    <cfRule type="expression" dxfId="4" priority="2">
      <formula>_xlfn.IFS(K14=1,L14=0)</formula>
    </cfRule>
  </conditionalFormatting>
  <conditionalFormatting sqref="L14:L26">
    <cfRule type="expression" dxfId="3" priority="1">
      <formula>_xlfn.IFS(K14&lt;1,L14&gt;0)</formula>
    </cfRule>
  </conditionalFormatting>
  <conditionalFormatting sqref="M14:M18 M20:M25 F14:K18 I20:K25 F20:H20 F21:G25 H21:H26">
    <cfRule type="expression" dxfId="2" priority="92">
      <formula>$K14&gt;0</formula>
    </cfRule>
  </conditionalFormatting>
  <conditionalFormatting sqref="M14:M18 M20:M25">
    <cfRule type="expression" dxfId="1" priority="84">
      <formula>AND($J14&gt;$D$21,$K14&lt;&gt;1,NOT(ISBLANK($F14)))</formula>
    </cfRule>
    <cfRule type="expression" dxfId="0" priority="91">
      <formula>AND($J14&lt;=$D$21,$K14&lt;&gt;1,NOT(ISBLANK($F14)))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C0CFFB-B07F-4D4E-8C6B-A9B3B78D5C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K14:K25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EEE3F8-E636-4D65-869E-359870FDE48F}">
          <x14:formula1>
            <xm:f>Resourcing!$C$4:$C$19</xm:f>
          </x14:formula1>
          <xm:sqref>G14:G18 G20:G25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18CA-5A27-4C04-BC5D-109B1CBB2ACC}">
  <dimension ref="C3:G23"/>
  <sheetViews>
    <sheetView zoomScale="77" zoomScaleNormal="77" workbookViewId="0">
      <selection activeCell="F23" sqref="F23:G23"/>
    </sheetView>
  </sheetViews>
  <sheetFormatPr defaultRowHeight="14.4" outlineLevelRow="1" x14ac:dyDescent="0.3"/>
  <cols>
    <col min="3" max="3" width="14.6640625" customWidth="1"/>
    <col min="4" max="4" width="13.6640625" customWidth="1"/>
    <col min="5" max="5" width="24.88671875" customWidth="1"/>
    <col min="6" max="6" width="14" customWidth="1"/>
    <col min="7" max="7" width="21.88671875" customWidth="1"/>
  </cols>
  <sheetData>
    <row r="3" spans="3:7" x14ac:dyDescent="0.3">
      <c r="C3" s="1" t="s">
        <v>0</v>
      </c>
      <c r="D3" s="1" t="s">
        <v>35</v>
      </c>
      <c r="E3" s="1" t="s">
        <v>1</v>
      </c>
      <c r="F3" s="1" t="s">
        <v>2</v>
      </c>
      <c r="G3" s="1" t="s">
        <v>3</v>
      </c>
    </row>
    <row r="4" spans="3:7" x14ac:dyDescent="0.3">
      <c r="C4" s="2" t="s">
        <v>10</v>
      </c>
      <c r="D4" s="2">
        <f>IF(C4&lt;&gt;"",COUNTIF(Resources,"="&amp;C4),"")</f>
        <v>0</v>
      </c>
      <c r="E4" s="2">
        <f t="shared" ref="E4:E13" si="0">SUMIF(Resources,C4,Work)</f>
        <v>0</v>
      </c>
      <c r="F4" s="2">
        <f>E4-G4</f>
        <v>0</v>
      </c>
      <c r="G4" s="2">
        <f t="shared" ref="G4:G20" si="1">SUMIF(Resources,C4,Work_Left)</f>
        <v>0</v>
      </c>
    </row>
    <row r="5" spans="3:7" x14ac:dyDescent="0.3">
      <c r="C5" s="2" t="s">
        <v>8</v>
      </c>
      <c r="D5" s="2">
        <f>IF(C5&lt;&gt;"",COUNTIF(Resources,"="&amp;C5),"")</f>
        <v>1</v>
      </c>
      <c r="E5" s="2">
        <f t="shared" si="0"/>
        <v>1</v>
      </c>
      <c r="F5" s="2">
        <f>E5-G5</f>
        <v>1</v>
      </c>
      <c r="G5" s="2">
        <f>SUMIF(Resources,C5,Work_Left)</f>
        <v>0</v>
      </c>
    </row>
    <row r="6" spans="3:7" x14ac:dyDescent="0.3">
      <c r="C6" s="2" t="s">
        <v>9</v>
      </c>
      <c r="D6" s="2">
        <f t="shared" ref="D6:D13" si="2">IF(C6&lt;&gt;"",COUNTIF(Resources,"="&amp;C6),"")</f>
        <v>1</v>
      </c>
      <c r="E6" s="2">
        <f t="shared" si="0"/>
        <v>1</v>
      </c>
      <c r="F6" s="2">
        <f>E6-G6</f>
        <v>0.5</v>
      </c>
      <c r="G6" s="2">
        <f t="shared" si="1"/>
        <v>0.5</v>
      </c>
    </row>
    <row r="7" spans="3:7" x14ac:dyDescent="0.3">
      <c r="C7" s="2" t="s">
        <v>7</v>
      </c>
      <c r="D7" s="2">
        <f t="shared" si="2"/>
        <v>0</v>
      </c>
      <c r="E7" s="2">
        <f t="shared" si="0"/>
        <v>0</v>
      </c>
      <c r="F7" s="2">
        <f t="shared" ref="F7:F13" si="3">E7-G7</f>
        <v>0</v>
      </c>
      <c r="G7" s="2">
        <f t="shared" si="1"/>
        <v>0</v>
      </c>
    </row>
    <row r="8" spans="3:7" x14ac:dyDescent="0.3">
      <c r="C8" s="2" t="s">
        <v>4</v>
      </c>
      <c r="D8" s="2">
        <f t="shared" si="2"/>
        <v>2</v>
      </c>
      <c r="E8" s="2">
        <f t="shared" si="0"/>
        <v>4</v>
      </c>
      <c r="F8" s="2">
        <f t="shared" si="3"/>
        <v>0</v>
      </c>
      <c r="G8" s="2">
        <f t="shared" si="1"/>
        <v>4</v>
      </c>
    </row>
    <row r="9" spans="3:7" x14ac:dyDescent="0.3">
      <c r="C9" s="2" t="s">
        <v>5</v>
      </c>
      <c r="D9" s="2">
        <f t="shared" si="2"/>
        <v>3</v>
      </c>
      <c r="E9" s="2">
        <f t="shared" si="0"/>
        <v>9</v>
      </c>
      <c r="F9" s="2">
        <f t="shared" si="3"/>
        <v>1.5</v>
      </c>
      <c r="G9" s="2">
        <f t="shared" si="1"/>
        <v>7.5</v>
      </c>
    </row>
    <row r="10" spans="3:7" x14ac:dyDescent="0.3">
      <c r="C10" s="2" t="s">
        <v>6</v>
      </c>
      <c r="D10" s="2">
        <f t="shared" si="2"/>
        <v>1</v>
      </c>
      <c r="E10" s="2">
        <f t="shared" si="0"/>
        <v>1</v>
      </c>
      <c r="F10" s="2">
        <f t="shared" si="3"/>
        <v>0.19999999999999996</v>
      </c>
      <c r="G10" s="2">
        <f t="shared" si="1"/>
        <v>0.8</v>
      </c>
    </row>
    <row r="11" spans="3:7" hidden="1" outlineLevel="1" x14ac:dyDescent="0.3">
      <c r="C11" s="2"/>
      <c r="D11" s="2" t="str">
        <f t="shared" si="2"/>
        <v/>
      </c>
      <c r="E11" s="2">
        <f t="shared" si="0"/>
        <v>0</v>
      </c>
      <c r="F11" s="2">
        <f t="shared" si="3"/>
        <v>0</v>
      </c>
      <c r="G11" s="2">
        <f t="shared" si="1"/>
        <v>0</v>
      </c>
    </row>
    <row r="12" spans="3:7" collapsed="1" x14ac:dyDescent="0.3">
      <c r="C12" s="2" t="s">
        <v>41</v>
      </c>
      <c r="D12" s="2">
        <f t="shared" si="2"/>
        <v>1</v>
      </c>
      <c r="E12" s="2">
        <f t="shared" si="0"/>
        <v>1</v>
      </c>
      <c r="F12" s="2">
        <f t="shared" si="3"/>
        <v>9.9999999999999978E-2</v>
      </c>
      <c r="G12" s="2">
        <f t="shared" si="1"/>
        <v>0.9</v>
      </c>
    </row>
    <row r="13" spans="3:7" x14ac:dyDescent="0.3">
      <c r="C13" s="2" t="s">
        <v>42</v>
      </c>
      <c r="D13" s="2">
        <f t="shared" si="2"/>
        <v>0</v>
      </c>
      <c r="E13" s="2">
        <f t="shared" si="0"/>
        <v>0</v>
      </c>
      <c r="F13" s="2">
        <f t="shared" si="3"/>
        <v>0</v>
      </c>
      <c r="G13" s="2">
        <f t="shared" si="1"/>
        <v>0</v>
      </c>
    </row>
    <row r="14" spans="3:7" x14ac:dyDescent="0.3">
      <c r="C14" s="2"/>
      <c r="D14" s="6" t="str">
        <f t="shared" ref="D14:D20" si="4">IF(C14&lt;&gt;"",COUNTIF(Resource,"="&amp;C14),"")</f>
        <v/>
      </c>
      <c r="E14" s="6">
        <f t="shared" ref="E14:E20" ca="1" si="5">SUMIF(Resources,C14,J5Work_Required)</f>
        <v>0</v>
      </c>
      <c r="F14" s="6">
        <f t="shared" ref="F14:F20" ca="1" si="6">E14-G14</f>
        <v>0</v>
      </c>
      <c r="G14" s="6">
        <f t="shared" si="1"/>
        <v>0</v>
      </c>
    </row>
    <row r="15" spans="3:7" x14ac:dyDescent="0.3">
      <c r="C15" s="2"/>
      <c r="D15" s="6" t="str">
        <f t="shared" si="4"/>
        <v/>
      </c>
      <c r="E15" s="6">
        <f t="shared" ca="1" si="5"/>
        <v>0</v>
      </c>
      <c r="F15" s="6">
        <f t="shared" ca="1" si="6"/>
        <v>0</v>
      </c>
      <c r="G15" s="6">
        <f t="shared" si="1"/>
        <v>0</v>
      </c>
    </row>
    <row r="16" spans="3:7" x14ac:dyDescent="0.3">
      <c r="C16" s="2"/>
      <c r="D16" s="6" t="str">
        <f t="shared" si="4"/>
        <v/>
      </c>
      <c r="E16" s="6">
        <f t="shared" ca="1" si="5"/>
        <v>0</v>
      </c>
      <c r="F16" s="6">
        <f t="shared" ca="1" si="6"/>
        <v>0</v>
      </c>
      <c r="G16" s="6">
        <f t="shared" si="1"/>
        <v>0</v>
      </c>
    </row>
    <row r="17" spans="3:7" x14ac:dyDescent="0.3">
      <c r="C17" s="2"/>
      <c r="D17" s="6" t="str">
        <f t="shared" si="4"/>
        <v/>
      </c>
      <c r="E17" s="6">
        <f t="shared" ca="1" si="5"/>
        <v>0</v>
      </c>
      <c r="F17" s="6">
        <f t="shared" ca="1" si="6"/>
        <v>0</v>
      </c>
      <c r="G17" s="6">
        <f t="shared" si="1"/>
        <v>0</v>
      </c>
    </row>
    <row r="18" spans="3:7" x14ac:dyDescent="0.3">
      <c r="C18" s="2"/>
      <c r="D18" s="6" t="str">
        <f t="shared" si="4"/>
        <v/>
      </c>
      <c r="E18" s="6">
        <f t="shared" ca="1" si="5"/>
        <v>0</v>
      </c>
      <c r="F18" s="6">
        <f t="shared" ca="1" si="6"/>
        <v>0</v>
      </c>
      <c r="G18" s="6">
        <f t="shared" si="1"/>
        <v>0</v>
      </c>
    </row>
    <row r="19" spans="3:7" x14ac:dyDescent="0.3">
      <c r="C19" s="2"/>
      <c r="D19" s="6" t="str">
        <f t="shared" si="4"/>
        <v/>
      </c>
      <c r="E19" s="6">
        <f t="shared" ca="1" si="5"/>
        <v>0</v>
      </c>
      <c r="F19" s="6">
        <f t="shared" ca="1" si="6"/>
        <v>0</v>
      </c>
      <c r="G19" s="6">
        <f t="shared" si="1"/>
        <v>0</v>
      </c>
    </row>
    <row r="20" spans="3:7" x14ac:dyDescent="0.3">
      <c r="C20" s="2"/>
      <c r="D20" s="6" t="str">
        <f t="shared" si="4"/>
        <v/>
      </c>
      <c r="E20" s="6">
        <f t="shared" ca="1" si="5"/>
        <v>0</v>
      </c>
      <c r="F20" s="6">
        <f t="shared" ca="1" si="6"/>
        <v>0</v>
      </c>
      <c r="G20" s="6">
        <f t="shared" si="1"/>
        <v>0</v>
      </c>
    </row>
    <row r="23" spans="3:7" x14ac:dyDescent="0.3">
      <c r="C23" s="1" t="s">
        <v>53</v>
      </c>
      <c r="D23" s="1">
        <f>SUM(D3:D20)</f>
        <v>9</v>
      </c>
      <c r="E23" s="1">
        <f t="shared" ref="E23:G23" ca="1" si="7">SUM(E3:E20)</f>
        <v>17</v>
      </c>
      <c r="F23" s="1">
        <f t="shared" ca="1" si="7"/>
        <v>3.3000000000000003</v>
      </c>
      <c r="G23" s="1">
        <f t="shared" si="7"/>
        <v>13.700000000000001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30F2-7826-4D5C-83EF-6B8EF542126F}">
  <dimension ref="B3:C15"/>
  <sheetViews>
    <sheetView workbookViewId="0">
      <selection activeCell="B1" sqref="B1"/>
    </sheetView>
  </sheetViews>
  <sheetFormatPr defaultRowHeight="14.4" x14ac:dyDescent="0.3"/>
  <cols>
    <col min="2" max="2" width="18.109375" customWidth="1"/>
    <col min="3" max="3" width="84.109375" customWidth="1"/>
  </cols>
  <sheetData>
    <row r="3" spans="2:3" x14ac:dyDescent="0.3">
      <c r="B3" s="1" t="s">
        <v>0</v>
      </c>
      <c r="C3" s="1" t="s">
        <v>52</v>
      </c>
    </row>
    <row r="4" spans="2:3" x14ac:dyDescent="0.3">
      <c r="B4" s="2" t="s">
        <v>10</v>
      </c>
      <c r="C4" s="2"/>
    </row>
    <row r="5" spans="2:3" x14ac:dyDescent="0.3">
      <c r="B5" s="2"/>
      <c r="C5" s="2"/>
    </row>
    <row r="6" spans="2:3" x14ac:dyDescent="0.3">
      <c r="B6" s="2"/>
      <c r="C6" s="2"/>
    </row>
    <row r="7" spans="2:3" x14ac:dyDescent="0.3">
      <c r="B7" s="2"/>
      <c r="C7" s="2"/>
    </row>
    <row r="8" spans="2:3" x14ac:dyDescent="0.3">
      <c r="B8" s="2"/>
      <c r="C8" s="2"/>
    </row>
    <row r="9" spans="2:3" x14ac:dyDescent="0.3">
      <c r="B9" s="2"/>
      <c r="C9" s="2"/>
    </row>
    <row r="10" spans="2:3" x14ac:dyDescent="0.3">
      <c r="B10" s="2"/>
      <c r="C10" s="2"/>
    </row>
    <row r="11" spans="2:3" x14ac:dyDescent="0.3">
      <c r="B11" s="2"/>
      <c r="C11" s="2"/>
    </row>
    <row r="12" spans="2:3" x14ac:dyDescent="0.3">
      <c r="B12" s="2"/>
      <c r="C12" s="2"/>
    </row>
    <row r="13" spans="2:3" x14ac:dyDescent="0.3">
      <c r="B13" s="2"/>
      <c r="C13" s="2"/>
    </row>
    <row r="14" spans="2:3" x14ac:dyDescent="0.3">
      <c r="B14" s="2"/>
      <c r="C14" s="2"/>
    </row>
    <row r="15" spans="2:3" x14ac:dyDescent="0.3">
      <c r="B15" s="2"/>
      <c r="C15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472451-D8FD-4603-B679-202B17738A86}">
          <x14:formula1>
            <xm:f>Resourcing!$C$4:$C$20</xm:f>
          </x14:formula1>
          <xm:sqref>B3:B15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D010-BD99-46A1-85C4-E717570FFA77}">
  <dimension ref="C4:D12"/>
  <sheetViews>
    <sheetView showGridLines="0" workbookViewId="0">
      <selection activeCell="D13" sqref="D13"/>
    </sheetView>
  </sheetViews>
  <sheetFormatPr defaultColWidth="14.88671875" defaultRowHeight="14.4" x14ac:dyDescent="0.3"/>
  <sheetData>
    <row r="4" spans="3:4" x14ac:dyDescent="0.3">
      <c r="C4" s="29" t="s">
        <v>36</v>
      </c>
    </row>
    <row r="5" spans="3:4" x14ac:dyDescent="0.3">
      <c r="C5" s="29"/>
    </row>
    <row r="6" spans="3:4" x14ac:dyDescent="0.3">
      <c r="C6" s="8" t="s">
        <v>22</v>
      </c>
      <c r="D6" s="7">
        <f>COUNTIFS(Task_Name,"&lt;&gt;""",Completion,"=0")</f>
        <v>4</v>
      </c>
    </row>
    <row r="7" spans="3:4" x14ac:dyDescent="0.3">
      <c r="C7" s="9" t="s">
        <v>24</v>
      </c>
      <c r="D7" s="7">
        <f>COUNTIFS(Task_Name,"&lt;&gt;""",Completion,"&gt;0",Completion,"&lt;1")</f>
        <v>4</v>
      </c>
    </row>
    <row r="8" spans="3:4" x14ac:dyDescent="0.3">
      <c r="C8" s="10" t="s">
        <v>23</v>
      </c>
      <c r="D8" s="7">
        <f>COUNTIFS(Task_Name,"&lt;&gt;""",Completion,"=1")</f>
        <v>1</v>
      </c>
    </row>
    <row r="9" spans="3:4" x14ac:dyDescent="0.3">
      <c r="C9" s="13"/>
    </row>
    <row r="10" spans="3:4" x14ac:dyDescent="0.3">
      <c r="C10" s="8" t="s">
        <v>37</v>
      </c>
      <c r="D10" s="7">
        <f ca="1">COUNTIFS(Task_Name,"&lt;&gt;""",Completion,"&lt;&gt;1",Deadline,"&gt;"&amp;Today)</f>
        <v>0</v>
      </c>
    </row>
    <row r="11" spans="3:4" x14ac:dyDescent="0.3">
      <c r="C11" s="11" t="s">
        <v>38</v>
      </c>
      <c r="D11" s="7">
        <f ca="1">COUNTIFS(Task_Name,"&lt;&gt;""",Completion,"&lt;&gt;1",Deadline,"&lt;"&amp;Red_Flag_Date,Deadline,"&gt;"&amp;Today)</f>
        <v>0</v>
      </c>
    </row>
    <row r="12" spans="3:4" x14ac:dyDescent="0.3">
      <c r="C12" s="12" t="s">
        <v>39</v>
      </c>
      <c r="D12" s="7">
        <f ca="1">COUNTIFS(Task_Name,"&lt;&gt;""",Completion,"&lt;&gt;1",Deadline,"&gt;="&amp;Red_Flag_Date,Deadline,"&gt;"&amp;Today)</f>
        <v>0</v>
      </c>
    </row>
  </sheetData>
  <mergeCells count="1"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Dashboard</vt:lpstr>
      <vt:lpstr>Resourcing</vt:lpstr>
      <vt:lpstr>Comments</vt:lpstr>
      <vt:lpstr>Calculations</vt:lpstr>
      <vt:lpstr>Completion</vt:lpstr>
      <vt:lpstr>Complition</vt:lpstr>
      <vt:lpstr>Deadline</vt:lpstr>
      <vt:lpstr>J5Work_Required</vt:lpstr>
      <vt:lpstr>Red_Flag_Date</vt:lpstr>
      <vt:lpstr>Red_Flag_Days</vt:lpstr>
      <vt:lpstr>Resource</vt:lpstr>
      <vt:lpstr>Resources</vt:lpstr>
      <vt:lpstr>Status</vt:lpstr>
      <vt:lpstr>Task_Name</vt:lpstr>
      <vt:lpstr>Tasks</vt:lpstr>
      <vt:lpstr>Today</vt:lpstr>
      <vt:lpstr>Work</vt:lpstr>
      <vt:lpstr>Work_Left</vt:lpstr>
      <vt:lpstr>Work_Required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Aladl</dc:creator>
  <cp:lastModifiedBy>ammar aladl</cp:lastModifiedBy>
  <dcterms:created xsi:type="dcterms:W3CDTF">2024-06-24T06:56:52Z</dcterms:created>
  <dcterms:modified xsi:type="dcterms:W3CDTF">2025-12-24T21:46:32Z</dcterms:modified>
</cp:coreProperties>
</file>